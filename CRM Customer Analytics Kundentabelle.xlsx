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nems/Downloads/"/>
    </mc:Choice>
  </mc:AlternateContent>
  <xr:revisionPtr revIDLastSave="0" documentId="8_{CB4AFF4E-FA8C-5C4B-9567-71CF7D89C50E}" xr6:coauthVersionLast="47" xr6:coauthVersionMax="47" xr10:uidLastSave="{00000000-0000-0000-0000-000000000000}"/>
  <bookViews>
    <workbookView xWindow="540" yWindow="2040" windowWidth="24540" windowHeight="13740" xr2:uid="{7CEF3278-8EBE-5A45-842D-90EFF1004EC4}"/>
  </bookViews>
  <sheets>
    <sheet name="Kundendaten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K17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I2" i="1" a="1"/>
  <c r="I3" i="1" a="1"/>
  <c r="I4" i="1" a="1"/>
  <c r="I5" i="1" a="1"/>
  <c r="I6" i="1" a="1"/>
  <c r="I7" i="1" a="1"/>
  <c r="I8" i="1" a="1"/>
  <c r="I9" i="1" a="1"/>
  <c r="I10" i="1" a="1"/>
  <c r="I11" i="1" a="1"/>
  <c r="I12" i="1" a="1"/>
  <c r="I13" i="1" a="1"/>
  <c r="I14" i="1" a="1"/>
  <c r="I15" i="1" a="1"/>
  <c r="I16" i="1" a="1"/>
  <c r="I17" i="1" a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K15" i="1" l="1"/>
  <c r="I17" i="1"/>
  <c r="Q17" i="1" s="1"/>
  <c r="I16" i="1"/>
  <c r="N16" i="1" s="1"/>
  <c r="I15" i="1"/>
  <c r="K14" i="1" s="1"/>
  <c r="I14" i="1"/>
  <c r="K13" i="1" s="1"/>
  <c r="I13" i="1"/>
  <c r="I12" i="1"/>
  <c r="I11" i="1"/>
  <c r="K10" i="1" s="1"/>
  <c r="I10" i="1"/>
  <c r="K9" i="1" s="1"/>
  <c r="I9" i="1"/>
  <c r="K8" i="1" s="1"/>
  <c r="I8" i="1"/>
  <c r="K7" i="1" s="1"/>
  <c r="I7" i="1"/>
  <c r="Q7" i="1" s="1"/>
  <c r="I6" i="1"/>
  <c r="N6" i="1" s="1"/>
  <c r="I5" i="1"/>
  <c r="Q5" i="1" s="1"/>
  <c r="I4" i="1"/>
  <c r="Q4" i="1" s="1"/>
  <c r="I3" i="1"/>
  <c r="Q3" i="1" s="1"/>
  <c r="I2" i="1"/>
  <c r="Q2" i="1" s="1"/>
  <c r="N11" i="1" l="1"/>
  <c r="K5" i="1"/>
  <c r="N15" i="1"/>
  <c r="K3" i="1"/>
  <c r="Q15" i="1"/>
  <c r="N12" i="1"/>
  <c r="N13" i="1"/>
  <c r="K11" i="1"/>
  <c r="N7" i="1"/>
  <c r="Q6" i="1"/>
  <c r="N8" i="1"/>
  <c r="N10" i="1"/>
  <c r="N14" i="1"/>
  <c r="Q11" i="1"/>
  <c r="O9" i="1"/>
  <c r="N17" i="1"/>
  <c r="N5" i="1"/>
  <c r="O5" i="1"/>
  <c r="O4" i="1"/>
  <c r="O6" i="1"/>
  <c r="O11" i="1"/>
  <c r="Q9" i="1"/>
  <c r="Q8" i="1"/>
  <c r="Q10" i="1"/>
  <c r="Q12" i="1"/>
  <c r="O10" i="1"/>
  <c r="N9" i="1"/>
  <c r="N3" i="1"/>
  <c r="K16" i="1"/>
  <c r="K12" i="1"/>
  <c r="K6" i="1"/>
  <c r="K4" i="1"/>
  <c r="K2" i="1"/>
  <c r="N2" i="1"/>
  <c r="O16" i="1"/>
  <c r="O3" i="1"/>
  <c r="O7" i="1"/>
  <c r="Q13" i="1"/>
  <c r="Q16" i="1"/>
  <c r="Q14" i="1"/>
  <c r="O8" i="1"/>
  <c r="O13" i="1"/>
  <c r="N4" i="1"/>
  <c r="O14" i="1"/>
  <c r="O15" i="1"/>
  <c r="O12" i="1"/>
  <c r="O17" i="1"/>
  <c r="O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<sst xmlns="http://schemas.openxmlformats.org/spreadsheetml/2006/main" count="81" uniqueCount="42">
  <si>
    <t>Kunden-ID</t>
  </si>
  <si>
    <t>Land</t>
  </si>
  <si>
    <t>Kanal</t>
  </si>
  <si>
    <t>Umsatz</t>
  </si>
  <si>
    <t>Bestellungen</t>
  </si>
  <si>
    <t>Tage seit Kauf</t>
  </si>
  <si>
    <t>Newsletter</t>
  </si>
  <si>
    <t>K101</t>
  </si>
  <si>
    <t>DE</t>
  </si>
  <si>
    <t>Shop</t>
  </si>
  <si>
    <t>Ja</t>
  </si>
  <si>
    <t>K102</t>
  </si>
  <si>
    <t>FR</t>
  </si>
  <si>
    <t>App</t>
  </si>
  <si>
    <t>Nein</t>
  </si>
  <si>
    <t>K103</t>
  </si>
  <si>
    <t>ES</t>
  </si>
  <si>
    <t>K104</t>
  </si>
  <si>
    <t>K105</t>
  </si>
  <si>
    <t>IT</t>
  </si>
  <si>
    <t>K106</t>
  </si>
  <si>
    <t>Web</t>
  </si>
  <si>
    <t>K107</t>
  </si>
  <si>
    <t>K108</t>
  </si>
  <si>
    <t>K109</t>
  </si>
  <si>
    <t>K110</t>
  </si>
  <si>
    <t>K111</t>
  </si>
  <si>
    <t>K112</t>
  </si>
  <si>
    <t>K113</t>
  </si>
  <si>
    <t>K114</t>
  </si>
  <si>
    <t>K115</t>
  </si>
  <si>
    <t>K116</t>
  </si>
  <si>
    <t>Kundensegment</t>
  </si>
  <si>
    <t>Kundenklasse</t>
  </si>
  <si>
    <t>Kunden aus DE</t>
  </si>
  <si>
    <t>DE + Gefährdet</t>
  </si>
  <si>
    <t>Umsatz FR</t>
  </si>
  <si>
    <t>Umsatz DE + Aktiv</t>
  </si>
  <si>
    <t>Treuebonus</t>
  </si>
  <si>
    <t>Inaktiv + Kein Newsletter</t>
  </si>
  <si>
    <t>mind. 600€; mind. 5 Bestell.</t>
  </si>
  <si>
    <t>Kontaktieren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</si>
</sst>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EB0D26-B9C8-6F45-913C-85CA86315826}" name="Tabelle1" displayName="Tabelle1" ref="A1:Q17" totalsRowShown="0">
  <autoFilter ref="A1:Q17" xr:uid="{F8EB0D26-B9C8-6F45-913C-85CA86315826}"/>
  <tableColumns count="17">
    <tableColumn id="1" xr3:uid="{B90630D1-6E47-8D49-81E0-CB64EB4BA058}" name="Kunden-ID"/>
    <tableColumn id="2" xr3:uid="{C1A0F372-0313-5749-8B74-49ADE10E2317}" name="Land"/>
    <tableColumn id="3" xr3:uid="{9942B3E3-17B8-8F43-9522-D93FA62D16C0}" name="Kanal"/>
    <tableColumn id="4" xr3:uid="{CDB6B2C2-B728-074F-AB70-C27AC2AC4566}" name="Umsatz"/>
    <tableColumn id="5" xr3:uid="{D5283231-F35B-104F-93B4-979B38A4001B}" name="Bestellungen"/>
    <tableColumn id="6" xr3:uid="{0D8C36C6-0B1A-9045-B417-547A10EB78AB}" name="Tage seit Kauf"/>
    <tableColumn id="7" xr3:uid="{C87F87F0-AFF9-FE42-86B2-DD49E5CEE5A2}" name="Newsletter"/>
    <tableColumn id="8" xr3:uid="{E7F84725-8E49-6448-837D-07BDD37EDEC1}" name="Kundenklasse" dataDxfId="9">
      <calculatedColumnFormula>IF(Tabelle1[[#This Row],[Umsatz]]&gt;=800,"Premium", "Standard")</calculatedColumnFormula>
    </tableColumn>
    <tableColumn id="9" xr3:uid="{BF67AECF-DF73-F344-9DE1-73E5A3A15D31}" name="Kundensegment" dataDxfId="8">
      <calculatedColumnFormula array="1">_xlfn.IFS(Tabelle1[[#This Row],[Tage seit Kauf]]&lt;30,"Aktiv",Tabelle1[[#This Row],[Tage seit Kauf]]&lt;90,"Gefährdet",Tabelle1[[#This Row],[Tage seit Kauf]]&gt;90,"Inaktiv")</calculatedColumnFormula>
    </tableColumn>
    <tableColumn id="11" xr3:uid="{35DC284B-9349-9845-AF4E-52DC547C32CB}" name="mind. 600€; mind. 5 Bestell." dataDxfId="7">
      <calculatedColumnFormula>IF(AND(D2&gt;=600,E2&gt;=5), "Ja", "nein")</calculatedColumnFormula>
    </tableColumn>
    <tableColumn id="12" xr3:uid="{A6556B89-94E7-B542-AEA9-59692B7E210F}" name="Inaktiv + Kein Newsletter" dataDxfId="6">
      <calculatedColumnFormula>IF(OR(I3="Inaktiv",G3="Nein"),"Wahr","Falsch")</calculatedColumnFormula>
    </tableColumn>
    <tableColumn id="13" xr3:uid="{8A987F87-FC33-8D42-B13F-33B630DF7E7C}" name="Treuebonus" dataDxfId="5">
      <calculatedColumnFormula>IF(AND(D2&gt;=800,E2&gt;=7), "Treuebonus","Kein Bonus")</calculatedColumnFormula>
    </tableColumn>
    <tableColumn id="14" xr3:uid="{436414B1-7B81-4643-AD28-4A0CDD4E3123}" name="Umsatz FR" dataDxfId="4">
      <calculatedColumnFormula>SUMIF(Tabelle1[Land],B3,Tabelle1[Umsatz])</calculatedColumnFormula>
    </tableColumn>
    <tableColumn id="15" xr3:uid="{9C003CFF-7BA0-034E-9762-66FD8BA7A838}" name="Umsatz DE + Aktiv" dataDxfId="3">
      <calculatedColumnFormula>SUMIFS(Tabelle1[Umsatz],Tabelle1[Land],B3,Tabelle1[Kundensegment],I2)</calculatedColumnFormula>
    </tableColumn>
    <tableColumn id="16" xr3:uid="{36274637-96B9-B248-96C4-C225C8C27AF3}" name="DE + Gefährdet" dataDxfId="2">
      <calculatedColumnFormula>COUNTIFS(Tabelle1[Land],"DE",Tabelle1[Kundensegment],"Gefährdet")</calculatedColumnFormula>
    </tableColumn>
    <tableColumn id="17" xr3:uid="{C2440932-92E8-D54C-A99B-17C3347885B4}" name="Kunden aus DE" dataDxfId="1">
      <calculatedColumnFormula>COUNTIF(Tabelle1[Land],"DE")</calculatedColumnFormula>
    </tableColumn>
    <tableColumn id="18" xr3:uid="{D0EC5A65-76DB-B642-B5B4-D087B99C9D3A}" name="Kontaktieren" dataDxfId="0">
      <calculatedColumnFormula>IF(OR(Tabelle1[[#This Row],[Kundensegment]]="Inaktiv",Tabelle1[[#This Row],[Kundensegment]]="Gefährdet"),"Kontaktieren","Keine Aktion")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05336-06F8-5943-88A6-ACB3C0773F21}">
  <dimension ref="A1:Q17"/>
  <sheetViews>
    <sheetView tabSelected="1" zoomScale="90" workbookViewId="0">
      <selection activeCell="J30" sqref="J30"/>
    </sheetView>
  </sheetViews>
  <sheetFormatPr baseColWidth="10" defaultRowHeight="16" x14ac:dyDescent="0.2"/>
  <cols>
    <col min="1" max="1" width="15.1640625" customWidth="1"/>
    <col min="2" max="2" width="11.33203125" customWidth="1"/>
    <col min="4" max="4" width="9.33203125" customWidth="1"/>
    <col min="5" max="5" width="9.6640625" customWidth="1"/>
    <col min="6" max="6" width="9.83203125" customWidth="1"/>
    <col min="7" max="7" width="12.83203125" bestFit="1" customWidth="1"/>
    <col min="8" max="8" width="17.1640625" bestFit="1" customWidth="1"/>
    <col min="9" max="9" width="18.83203125" customWidth="1"/>
    <col min="10" max="10" width="16.83203125" bestFit="1" customWidth="1"/>
    <col min="11" max="11" width="26" customWidth="1"/>
    <col min="12" max="12" width="15" customWidth="1"/>
    <col min="13" max="13" width="15.33203125" customWidth="1"/>
    <col min="14" max="14" width="10.33203125" customWidth="1"/>
    <col min="15" max="15" width="13.5" customWidth="1"/>
    <col min="16" max="16" width="8.1640625" customWidth="1"/>
    <col min="17" max="17" width="15.33203125" customWidth="1"/>
    <col min="18" max="18" width="14.66406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</v>
      </c>
      <c r="I1" t="s">
        <v>32</v>
      </c>
      <c r="J1" t="s">
        <v>40</v>
      </c>
      <c r="K1" t="s">
        <v>39</v>
      </c>
      <c r="L1" t="s">
        <v>38</v>
      </c>
      <c r="M1" t="s">
        <v>36</v>
      </c>
      <c r="N1" t="s">
        <v>37</v>
      </c>
      <c r="O1" t="s">
        <v>35</v>
      </c>
      <c r="P1" t="s">
        <v>34</v>
      </c>
      <c r="Q1" t="s">
        <v>41</v>
      </c>
    </row>
    <row r="2" spans="1:17" x14ac:dyDescent="0.2">
      <c r="A2" t="s">
        <v>7</v>
      </c>
      <c r="B2" t="s">
        <v>8</v>
      </c>
      <c r="C2" t="s">
        <v>9</v>
      </c>
      <c r="D2">
        <v>920</v>
      </c>
      <c r="E2">
        <v>9</v>
      </c>
      <c r="F2">
        <v>14</v>
      </c>
      <c r="G2" t="s">
        <v>10</v>
      </c>
      <c r="H2" t="str">
        <f>IF(Tabelle1[[#This Row],[Umsatz]]&gt;=800,"Premium", "Standard")</f>
        <v>Premium</v>
      </c>
      <c r="I2" t="str" cm="1">
        <f t="array" ref="I2">_xlfn.IFS(Tabelle1[[#This Row],[Tage seit Kauf]]&lt;30,"Aktiv",Tabelle1[[#This Row],[Tage seit Kauf]]&lt;90,"Gefährdet",Tabelle1[[#This Row],[Tage seit Kauf]]&gt;90,"Inaktiv")</f>
        <v>Aktiv</v>
      </c>
      <c r="J2" t="str">
        <f t="shared" ref="J2:J17" si="0">IF(AND(D2&gt;=600,E2&gt;=5), "Ja", "nein")</f>
        <v>Ja</v>
      </c>
      <c r="K2" t="str">
        <f t="shared" ref="K2:K17" si="1">IF(OR(I3="Inaktiv",G3="Nein"),"Wahr","Falsch")</f>
        <v>Wahr</v>
      </c>
      <c r="L2" t="str">
        <f t="shared" ref="L2:L17" si="2">IF(AND(D2&gt;=800,E2&gt;=7), "Treuebonus","Kein Bonus")</f>
        <v>Treuebonus</v>
      </c>
      <c r="M2">
        <f>SUMIF(Tabelle1[Land],B3,Tabelle1[Umsatz])</f>
        <v>1860</v>
      </c>
      <c r="N2">
        <f>SUMIFS(Tabelle1[Umsatz],Tabelle1[Land],B3,Tabelle1[Kundensegment],I2)</f>
        <v>570</v>
      </c>
      <c r="O2">
        <f>COUNTIFS(Tabelle1[Land],"DE",Tabelle1[Kundensegment],"Gefährdet")</f>
        <v>2</v>
      </c>
      <c r="P2">
        <f>COUNTIF(Tabelle1[Land],"DE")</f>
        <v>5</v>
      </c>
      <c r="Q2" t="str">
        <f>IF(OR(Tabelle1[[#This Row],[Kundensegment]]="Inaktiv",Tabelle1[[#This Row],[Kundensegment]]="Gefährdet"),"Kontaktieren","Keine Aktion")</f>
        <v>Keine Aktion</v>
      </c>
    </row>
    <row r="3" spans="1:17" x14ac:dyDescent="0.2">
      <c r="A3" t="s">
        <v>11</v>
      </c>
      <c r="B3" t="s">
        <v>12</v>
      </c>
      <c r="C3" t="s">
        <v>13</v>
      </c>
      <c r="D3">
        <v>180</v>
      </c>
      <c r="E3">
        <v>2</v>
      </c>
      <c r="F3">
        <v>98</v>
      </c>
      <c r="G3" t="s">
        <v>14</v>
      </c>
      <c r="H3" t="str">
        <f>IF(Tabelle1[[#This Row],[Umsatz]]&gt;=800,"Premium", "Standard")</f>
        <v>Standard</v>
      </c>
      <c r="I3" t="str" cm="1">
        <f t="array" ref="I3">_xlfn.IFS(Tabelle1[[#This Row],[Tage seit Kauf]]&lt;30,"Aktiv",Tabelle1[[#This Row],[Tage seit Kauf]]&lt;90,"Gefährdet",Tabelle1[[#This Row],[Tage seit Kauf]]&gt;90,"Inaktiv")</f>
        <v>Inaktiv</v>
      </c>
      <c r="J3" t="str">
        <f t="shared" si="0"/>
        <v>nein</v>
      </c>
      <c r="K3" t="str">
        <f t="shared" si="1"/>
        <v>Falsch</v>
      </c>
      <c r="L3" t="str">
        <f t="shared" si="2"/>
        <v>Kein Bonus</v>
      </c>
      <c r="M3">
        <f>SUMIF(Tabelle1[Land],B4,Tabelle1[Umsatz])</f>
        <v>2640</v>
      </c>
      <c r="N3">
        <f>SUMIFS(Tabelle1[Umsatz],Tabelle1[Land],B4,Tabelle1[Kundensegment],I3)</f>
        <v>0</v>
      </c>
      <c r="O3">
        <f>COUNTIFS(Tabelle1[Land],"DE",Tabelle1[Kundensegment],"Gefährdet")</f>
        <v>2</v>
      </c>
      <c r="P3">
        <f>COUNTIF(Tabelle1[Land],"DE")</f>
        <v>5</v>
      </c>
      <c r="Q3" t="str">
        <f>IF(OR(Tabelle1[[#This Row],[Kundensegment]]="Inaktiv",Tabelle1[[#This Row],[Kundensegment]]="Gefährdet"),"Kontaktieren","Keine Aktion")</f>
        <v>Kontaktieren</v>
      </c>
    </row>
    <row r="4" spans="1:17" x14ac:dyDescent="0.2">
      <c r="A4" t="s">
        <v>15</v>
      </c>
      <c r="B4" t="s">
        <v>16</v>
      </c>
      <c r="C4" t="s">
        <v>9</v>
      </c>
      <c r="D4">
        <v>430</v>
      </c>
      <c r="E4">
        <v>4</v>
      </c>
      <c r="F4">
        <v>44</v>
      </c>
      <c r="G4" t="s">
        <v>10</v>
      </c>
      <c r="H4" t="str">
        <f>IF(Tabelle1[[#This Row],[Umsatz]]&gt;=800,"Premium", "Standard")</f>
        <v>Standard</v>
      </c>
      <c r="I4" t="str" cm="1">
        <f t="array" ref="I4">_xlfn.IFS(Tabelle1[[#This Row],[Tage seit Kauf]]&lt;30,"Aktiv",Tabelle1[[#This Row],[Tage seit Kauf]]&lt;90,"Gefährdet",Tabelle1[[#This Row],[Tage seit Kauf]]&gt;90,"Inaktiv")</f>
        <v>Gefährdet</v>
      </c>
      <c r="J4" t="str">
        <f t="shared" si="0"/>
        <v>nein</v>
      </c>
      <c r="K4" t="str">
        <f t="shared" si="1"/>
        <v>Falsch</v>
      </c>
      <c r="L4" t="str">
        <f t="shared" si="2"/>
        <v>Kein Bonus</v>
      </c>
      <c r="M4">
        <f>SUMIF(Tabelle1[Land],B5,Tabelle1[Umsatz])</f>
        <v>4120</v>
      </c>
      <c r="N4">
        <f>SUMIFS(Tabelle1[Umsatz],Tabelle1[Land],B5,Tabelle1[Kundensegment],I4)</f>
        <v>1390</v>
      </c>
      <c r="O4">
        <f>COUNTIFS(Tabelle1[Land],"DE",Tabelle1[Kundensegment],"Gefährdet")</f>
        <v>2</v>
      </c>
      <c r="P4">
        <f>COUNTIF(Tabelle1[Land],"DE")</f>
        <v>5</v>
      </c>
      <c r="Q4" t="str">
        <f>IF(OR(Tabelle1[[#This Row],[Kundensegment]]="Inaktiv",Tabelle1[[#This Row],[Kundensegment]]="Gefährdet"),"Kontaktieren","Keine Aktion")</f>
        <v>Kontaktieren</v>
      </c>
    </row>
    <row r="5" spans="1:17" x14ac:dyDescent="0.2">
      <c r="A5" t="s">
        <v>17</v>
      </c>
      <c r="B5" t="s">
        <v>8</v>
      </c>
      <c r="C5" t="s">
        <v>13</v>
      </c>
      <c r="D5">
        <v>1470</v>
      </c>
      <c r="E5">
        <v>11</v>
      </c>
      <c r="F5">
        <v>9</v>
      </c>
      <c r="G5" t="s">
        <v>10</v>
      </c>
      <c r="H5" t="str">
        <f>IF(Tabelle1[[#This Row],[Umsatz]]&gt;=800,"Premium", "Standard")</f>
        <v>Premium</v>
      </c>
      <c r="I5" t="str" cm="1">
        <f t="array" ref="I5">_xlfn.IFS(Tabelle1[[#This Row],[Tage seit Kauf]]&lt;30,"Aktiv",Tabelle1[[#This Row],[Tage seit Kauf]]&lt;90,"Gefährdet",Tabelle1[[#This Row],[Tage seit Kauf]]&gt;90,"Inaktiv")</f>
        <v>Aktiv</v>
      </c>
      <c r="J5" t="str">
        <f t="shared" si="0"/>
        <v>Ja</v>
      </c>
      <c r="K5" t="str">
        <f t="shared" si="1"/>
        <v>Wahr</v>
      </c>
      <c r="L5" t="str">
        <f t="shared" si="2"/>
        <v>Treuebonus</v>
      </c>
      <c r="M5">
        <f>SUMIF(Tabelle1[Land],B6,Tabelle1[Umsatz])</f>
        <v>1295</v>
      </c>
      <c r="N5">
        <f>SUMIFS(Tabelle1[Umsatz],Tabelle1[Land],B6,Tabelle1[Kundensegment],I5)</f>
        <v>0</v>
      </c>
      <c r="O5">
        <f>COUNTIFS(Tabelle1[Land],"DE",Tabelle1[Kundensegment],"Gefährdet")</f>
        <v>2</v>
      </c>
      <c r="P5">
        <f>COUNTIF(Tabelle1[Land],"DE")</f>
        <v>5</v>
      </c>
      <c r="Q5" t="str">
        <f>IF(OR(Tabelle1[[#This Row],[Kundensegment]]="Inaktiv",Tabelle1[[#This Row],[Kundensegment]]="Gefährdet"),"Kontaktieren","Keine Aktion")</f>
        <v>Keine Aktion</v>
      </c>
    </row>
    <row r="6" spans="1:17" x14ac:dyDescent="0.2">
      <c r="A6" t="s">
        <v>18</v>
      </c>
      <c r="B6" t="s">
        <v>19</v>
      </c>
      <c r="C6" t="s">
        <v>9</v>
      </c>
      <c r="D6">
        <v>95</v>
      </c>
      <c r="E6">
        <v>1</v>
      </c>
      <c r="F6">
        <v>125</v>
      </c>
      <c r="G6" t="s">
        <v>14</v>
      </c>
      <c r="H6" t="str">
        <f>IF(Tabelle1[[#This Row],[Umsatz]]&gt;=800,"Premium", "Standard")</f>
        <v>Standard</v>
      </c>
      <c r="I6" t="str" cm="1">
        <f t="array" ref="I6">_xlfn.IFS(Tabelle1[[#This Row],[Tage seit Kauf]]&lt;30,"Aktiv",Tabelle1[[#This Row],[Tage seit Kauf]]&lt;90,"Gefährdet",Tabelle1[[#This Row],[Tage seit Kauf]]&gt;90,"Inaktiv")</f>
        <v>Inaktiv</v>
      </c>
      <c r="J6" t="str">
        <f t="shared" si="0"/>
        <v>nein</v>
      </c>
      <c r="K6" t="str">
        <f t="shared" si="1"/>
        <v>Falsch</v>
      </c>
      <c r="L6" t="str">
        <f t="shared" si="2"/>
        <v>Kein Bonus</v>
      </c>
      <c r="M6">
        <f>SUMIF(Tabelle1[Land],B7,Tabelle1[Umsatz])</f>
        <v>4120</v>
      </c>
      <c r="N6">
        <f>SUMIFS(Tabelle1[Umsatz],Tabelle1[Land],B7,Tabelle1[Kundensegment],I6)</f>
        <v>340</v>
      </c>
      <c r="O6">
        <f>COUNTIFS(Tabelle1[Land],"DE",Tabelle1[Kundensegment],"Gefährdet")</f>
        <v>2</v>
      </c>
      <c r="P6">
        <f>COUNTIF(Tabelle1[Land],"DE")</f>
        <v>5</v>
      </c>
      <c r="Q6" t="str">
        <f>IF(OR(Tabelle1[[#This Row],[Kundensegment]]="Inaktiv",Tabelle1[[#This Row],[Kundensegment]]="Gefährdet"),"Kontaktieren","Keine Aktion")</f>
        <v>Kontaktieren</v>
      </c>
    </row>
    <row r="7" spans="1:17" x14ac:dyDescent="0.2">
      <c r="A7" t="s">
        <v>20</v>
      </c>
      <c r="B7" t="s">
        <v>8</v>
      </c>
      <c r="C7" t="s">
        <v>21</v>
      </c>
      <c r="D7">
        <v>610</v>
      </c>
      <c r="E7">
        <v>5</v>
      </c>
      <c r="F7">
        <v>72</v>
      </c>
      <c r="G7" t="s">
        <v>10</v>
      </c>
      <c r="H7" t="str">
        <f>IF(Tabelle1[[#This Row],[Umsatz]]&gt;=800,"Premium", "Standard")</f>
        <v>Standard</v>
      </c>
      <c r="I7" t="str" cm="1">
        <f t="array" ref="I7">_xlfn.IFS(Tabelle1[[#This Row],[Tage seit Kauf]]&lt;30,"Aktiv",Tabelle1[[#This Row],[Tage seit Kauf]]&lt;90,"Gefährdet",Tabelle1[[#This Row],[Tage seit Kauf]]&gt;90,"Inaktiv")</f>
        <v>Gefährdet</v>
      </c>
      <c r="J7" t="str">
        <f t="shared" si="0"/>
        <v>Ja</v>
      </c>
      <c r="K7" t="str">
        <f t="shared" si="1"/>
        <v>Falsch</v>
      </c>
      <c r="L7" t="str">
        <f t="shared" si="2"/>
        <v>Kein Bonus</v>
      </c>
      <c r="M7">
        <f>SUMIF(Tabelle1[Land],B8,Tabelle1[Umsatz])</f>
        <v>1860</v>
      </c>
      <c r="N7">
        <f>SUMIFS(Tabelle1[Umsatz],Tabelle1[Land],B8,Tabelle1[Kundensegment],I7)</f>
        <v>840</v>
      </c>
      <c r="O7">
        <f>COUNTIFS(Tabelle1[Land],"DE",Tabelle1[Kundensegment],"Gefährdet")</f>
        <v>2</v>
      </c>
      <c r="P7">
        <f>COUNTIF(Tabelle1[Land],"DE")</f>
        <v>5</v>
      </c>
      <c r="Q7" t="str">
        <f>IF(OR(Tabelle1[[#This Row],[Kundensegment]]="Inaktiv",Tabelle1[[#This Row],[Kundensegment]]="Gefährdet"),"Kontaktieren","Keine Aktion")</f>
        <v>Kontaktieren</v>
      </c>
    </row>
    <row r="8" spans="1:17" x14ac:dyDescent="0.2">
      <c r="A8" t="s">
        <v>22</v>
      </c>
      <c r="B8" t="s">
        <v>12</v>
      </c>
      <c r="C8" t="s">
        <v>13</v>
      </c>
      <c r="D8">
        <v>840</v>
      </c>
      <c r="E8">
        <v>8</v>
      </c>
      <c r="F8">
        <v>32</v>
      </c>
      <c r="G8" t="s">
        <v>10</v>
      </c>
      <c r="H8" t="str">
        <f>IF(Tabelle1[[#This Row],[Umsatz]]&gt;=800,"Premium", "Standard")</f>
        <v>Premium</v>
      </c>
      <c r="I8" t="str" cm="1">
        <f t="array" ref="I8">_xlfn.IFS(Tabelle1[[#This Row],[Tage seit Kauf]]&lt;30,"Aktiv",Tabelle1[[#This Row],[Tage seit Kauf]]&lt;90,"Gefährdet",Tabelle1[[#This Row],[Tage seit Kauf]]&gt;90,"Inaktiv")</f>
        <v>Gefährdet</v>
      </c>
      <c r="J8" t="str">
        <f t="shared" si="0"/>
        <v>Ja</v>
      </c>
      <c r="K8" t="str">
        <f t="shared" si="1"/>
        <v>Wahr</v>
      </c>
      <c r="L8" t="str">
        <f t="shared" si="2"/>
        <v>Treuebonus</v>
      </c>
      <c r="M8">
        <f>SUMIF(Tabelle1[Land],B9,Tabelle1[Umsatz])</f>
        <v>2640</v>
      </c>
      <c r="N8">
        <f>SUMIFS(Tabelle1[Umsatz],Tabelle1[Land],B9,Tabelle1[Kundensegment],I8)</f>
        <v>1120</v>
      </c>
      <c r="O8">
        <f>COUNTIFS(Tabelle1[Land],"DE",Tabelle1[Kundensegment],"Gefährdet")</f>
        <v>2</v>
      </c>
      <c r="P8">
        <f>COUNTIF(Tabelle1[Land],"DE")</f>
        <v>5</v>
      </c>
      <c r="Q8" t="str">
        <f>IF(OR(Tabelle1[[#This Row],[Kundensegment]]="Inaktiv",Tabelle1[[#This Row],[Kundensegment]]="Gefährdet"),"Kontaktieren","Keine Aktion")</f>
        <v>Kontaktieren</v>
      </c>
    </row>
    <row r="9" spans="1:17" x14ac:dyDescent="0.2">
      <c r="A9" t="s">
        <v>23</v>
      </c>
      <c r="B9" t="s">
        <v>16</v>
      </c>
      <c r="C9" t="s">
        <v>21</v>
      </c>
      <c r="D9">
        <v>220</v>
      </c>
      <c r="E9">
        <v>2</v>
      </c>
      <c r="F9">
        <v>12</v>
      </c>
      <c r="G9" t="s">
        <v>14</v>
      </c>
      <c r="H9" t="str">
        <f>IF(Tabelle1[[#This Row],[Umsatz]]&gt;=800,"Premium", "Standard")</f>
        <v>Standard</v>
      </c>
      <c r="I9" t="str" cm="1">
        <f t="array" ref="I9">_xlfn.IFS(Tabelle1[[#This Row],[Tage seit Kauf]]&lt;30,"Aktiv",Tabelle1[[#This Row],[Tage seit Kauf]]&lt;90,"Gefährdet",Tabelle1[[#This Row],[Tage seit Kauf]]&gt;90,"Inaktiv")</f>
        <v>Aktiv</v>
      </c>
      <c r="J9" t="str">
        <f t="shared" si="0"/>
        <v>nein</v>
      </c>
      <c r="K9" t="str">
        <f t="shared" si="1"/>
        <v>Wahr</v>
      </c>
      <c r="L9" t="str">
        <f t="shared" si="2"/>
        <v>Kein Bonus</v>
      </c>
      <c r="M9">
        <f>SUMIF(Tabelle1[Land],B10,Tabelle1[Umsatz])</f>
        <v>1295</v>
      </c>
      <c r="N9">
        <f>SUMIFS(Tabelle1[Umsatz],Tabelle1[Land],B10,Tabelle1[Kundensegment],I9)</f>
        <v>0</v>
      </c>
      <c r="O9">
        <f>COUNTIFS(Tabelle1[Land],"DE",Tabelle1[Kundensegment],"Gefährdet")</f>
        <v>2</v>
      </c>
      <c r="P9">
        <f>COUNTIF(Tabelle1[Land],"DE")</f>
        <v>5</v>
      </c>
      <c r="Q9" t="str">
        <f>IF(OR(Tabelle1[[#This Row],[Kundensegment]]="Inaktiv",Tabelle1[[#This Row],[Kundensegment]]="Gefährdet"),"Kontaktieren","Keine Aktion")</f>
        <v>Keine Aktion</v>
      </c>
    </row>
    <row r="10" spans="1:17" x14ac:dyDescent="0.2">
      <c r="A10" t="s">
        <v>24</v>
      </c>
      <c r="B10" t="s">
        <v>19</v>
      </c>
      <c r="C10" t="s">
        <v>13</v>
      </c>
      <c r="D10">
        <v>1050</v>
      </c>
      <c r="E10">
        <v>7</v>
      </c>
      <c r="F10">
        <v>105</v>
      </c>
      <c r="G10" t="s">
        <v>10</v>
      </c>
      <c r="H10" t="str">
        <f>IF(Tabelle1[[#This Row],[Umsatz]]&gt;=800,"Premium", "Standard")</f>
        <v>Premium</v>
      </c>
      <c r="I10" t="str" cm="1">
        <f t="array" ref="I10">_xlfn.IFS(Tabelle1[[#This Row],[Tage seit Kauf]]&lt;30,"Aktiv",Tabelle1[[#This Row],[Tage seit Kauf]]&lt;90,"Gefährdet",Tabelle1[[#This Row],[Tage seit Kauf]]&gt;90,"Inaktiv")</f>
        <v>Inaktiv</v>
      </c>
      <c r="J10" t="str">
        <f t="shared" si="0"/>
        <v>Ja</v>
      </c>
      <c r="K10" t="str">
        <f t="shared" si="1"/>
        <v>Wahr</v>
      </c>
      <c r="L10" t="str">
        <f t="shared" si="2"/>
        <v>Treuebonus</v>
      </c>
      <c r="M10">
        <f>SUMIF(Tabelle1[Land],B11,Tabelle1[Umsatz])</f>
        <v>4120</v>
      </c>
      <c r="N10">
        <f>SUMIFS(Tabelle1[Umsatz],Tabelle1[Land],B11,Tabelle1[Kundensegment],I10)</f>
        <v>340</v>
      </c>
      <c r="O10">
        <f>COUNTIFS(Tabelle1[Land],"DE",Tabelle1[Kundensegment],"Gefährdet")</f>
        <v>2</v>
      </c>
      <c r="P10">
        <f>COUNTIF(Tabelle1[Land],"DE")</f>
        <v>5</v>
      </c>
      <c r="Q10" t="str">
        <f>IF(OR(Tabelle1[[#This Row],[Kundensegment]]="Inaktiv",Tabelle1[[#This Row],[Kundensegment]]="Gefährdet"),"Kontaktieren","Keine Aktion")</f>
        <v>Kontaktieren</v>
      </c>
    </row>
    <row r="11" spans="1:17" x14ac:dyDescent="0.2">
      <c r="A11" t="s">
        <v>25</v>
      </c>
      <c r="B11" t="s">
        <v>8</v>
      </c>
      <c r="C11" t="s">
        <v>9</v>
      </c>
      <c r="D11">
        <v>340</v>
      </c>
      <c r="E11">
        <v>3</v>
      </c>
      <c r="F11">
        <v>91</v>
      </c>
      <c r="G11" t="s">
        <v>10</v>
      </c>
      <c r="H11" t="str">
        <f>IF(Tabelle1[[#This Row],[Umsatz]]&gt;=800,"Premium", "Standard")</f>
        <v>Standard</v>
      </c>
      <c r="I11" t="str" cm="1">
        <f t="array" ref="I11">_xlfn.IFS(Tabelle1[[#This Row],[Tage seit Kauf]]&lt;30,"Aktiv",Tabelle1[[#This Row],[Tage seit Kauf]]&lt;90,"Gefährdet",Tabelle1[[#This Row],[Tage seit Kauf]]&gt;90,"Inaktiv")</f>
        <v>Inaktiv</v>
      </c>
      <c r="J11" t="str">
        <f t="shared" si="0"/>
        <v>nein</v>
      </c>
      <c r="K11" t="str">
        <f t="shared" si="1"/>
        <v>Wahr</v>
      </c>
      <c r="L11" t="str">
        <f t="shared" si="2"/>
        <v>Kein Bonus</v>
      </c>
      <c r="M11">
        <f>SUMIF(Tabelle1[Land],B12,Tabelle1[Umsatz])</f>
        <v>1860</v>
      </c>
      <c r="N11">
        <f>SUMIFS(Tabelle1[Umsatz],Tabelle1[Land],B12,Tabelle1[Kundensegment],I11)</f>
        <v>450</v>
      </c>
      <c r="O11">
        <f>COUNTIFS(Tabelle1[Land],"DE",Tabelle1[Kundensegment],"Gefährdet")</f>
        <v>2</v>
      </c>
      <c r="P11">
        <f>COUNTIF(Tabelle1[Land],"DE")</f>
        <v>5</v>
      </c>
      <c r="Q11" t="str">
        <f>IF(OR(Tabelle1[[#This Row],[Kundensegment]]="Inaktiv",Tabelle1[[#This Row],[Kundensegment]]="Gefährdet"),"Kontaktieren","Keine Aktion")</f>
        <v>Kontaktieren</v>
      </c>
    </row>
    <row r="12" spans="1:17" x14ac:dyDescent="0.2">
      <c r="A12" t="s">
        <v>26</v>
      </c>
      <c r="B12" t="s">
        <v>12</v>
      </c>
      <c r="C12" t="s">
        <v>21</v>
      </c>
      <c r="D12">
        <v>570</v>
      </c>
      <c r="E12">
        <v>5</v>
      </c>
      <c r="F12">
        <v>26</v>
      </c>
      <c r="G12" t="s">
        <v>14</v>
      </c>
      <c r="H12" t="str">
        <f>IF(Tabelle1[[#This Row],[Umsatz]]&gt;=800,"Premium", "Standard")</f>
        <v>Standard</v>
      </c>
      <c r="I12" t="str" cm="1">
        <f t="array" ref="I12">_xlfn.IFS(Tabelle1[[#This Row],[Tage seit Kauf]]&lt;30,"Aktiv",Tabelle1[[#This Row],[Tage seit Kauf]]&lt;90,"Gefährdet",Tabelle1[[#This Row],[Tage seit Kauf]]&gt;90,"Inaktiv")</f>
        <v>Aktiv</v>
      </c>
      <c r="J12" t="str">
        <f t="shared" si="0"/>
        <v>nein</v>
      </c>
      <c r="K12" t="str">
        <f t="shared" si="1"/>
        <v>Falsch</v>
      </c>
      <c r="L12" t="str">
        <f t="shared" si="2"/>
        <v>Kein Bonus</v>
      </c>
      <c r="M12">
        <f>SUMIF(Tabelle1[Land],B13,Tabelle1[Umsatz])</f>
        <v>2640</v>
      </c>
      <c r="N12">
        <f>SUMIFS(Tabelle1[Umsatz],Tabelle1[Land],B13,Tabelle1[Kundensegment],I12)</f>
        <v>1520</v>
      </c>
      <c r="O12">
        <f>COUNTIFS(Tabelle1[Land],"DE",Tabelle1[Kundensegment],"Gefährdet")</f>
        <v>2</v>
      </c>
      <c r="P12">
        <f>COUNTIF(Tabelle1[Land],"DE")</f>
        <v>5</v>
      </c>
      <c r="Q12" t="str">
        <f>IF(OR(Tabelle1[[#This Row],[Kundensegment]]="Inaktiv",Tabelle1[[#This Row],[Kundensegment]]="Gefährdet"),"Kontaktieren","Keine Aktion")</f>
        <v>Keine Aktion</v>
      </c>
    </row>
    <row r="13" spans="1:17" x14ac:dyDescent="0.2">
      <c r="A13" t="s">
        <v>27</v>
      </c>
      <c r="B13" t="s">
        <v>16</v>
      </c>
      <c r="C13" t="s">
        <v>13</v>
      </c>
      <c r="D13">
        <v>1300</v>
      </c>
      <c r="E13">
        <v>10</v>
      </c>
      <c r="F13">
        <v>19</v>
      </c>
      <c r="G13" t="s">
        <v>10</v>
      </c>
      <c r="H13" t="str">
        <f>IF(Tabelle1[[#This Row],[Umsatz]]&gt;=800,"Premium", "Standard")</f>
        <v>Premium</v>
      </c>
      <c r="I13" t="str" cm="1">
        <f t="array" ref="I13">_xlfn.IFS(Tabelle1[[#This Row],[Tage seit Kauf]]&lt;30,"Aktiv",Tabelle1[[#This Row],[Tage seit Kauf]]&lt;90,"Gefährdet",Tabelle1[[#This Row],[Tage seit Kauf]]&gt;90,"Inaktiv")</f>
        <v>Aktiv</v>
      </c>
      <c r="J13" t="str">
        <f t="shared" si="0"/>
        <v>Ja</v>
      </c>
      <c r="K13" t="str">
        <f t="shared" si="1"/>
        <v>Wahr</v>
      </c>
      <c r="L13" t="str">
        <f t="shared" si="2"/>
        <v>Treuebonus</v>
      </c>
      <c r="M13">
        <f>SUMIF(Tabelle1[Land],B14,Tabelle1[Umsatz])</f>
        <v>1295</v>
      </c>
      <c r="N13">
        <f>SUMIFS(Tabelle1[Umsatz],Tabelle1[Land],B14,Tabelle1[Kundensegment],I13)</f>
        <v>0</v>
      </c>
      <c r="O13">
        <f>COUNTIFS(Tabelle1[Land],"DE",Tabelle1[Kundensegment],"Gefährdet")</f>
        <v>2</v>
      </c>
      <c r="P13">
        <f>COUNTIF(Tabelle1[Land],"DE")</f>
        <v>5</v>
      </c>
      <c r="Q13" t="str">
        <f>IF(OR(Tabelle1[[#This Row],[Kundensegment]]="Inaktiv",Tabelle1[[#This Row],[Kundensegment]]="Gefährdet"),"Kontaktieren","Keine Aktion")</f>
        <v>Keine Aktion</v>
      </c>
    </row>
    <row r="14" spans="1:17" x14ac:dyDescent="0.2">
      <c r="A14" t="s">
        <v>28</v>
      </c>
      <c r="B14" t="s">
        <v>19</v>
      </c>
      <c r="C14" t="s">
        <v>21</v>
      </c>
      <c r="D14">
        <v>150</v>
      </c>
      <c r="E14">
        <v>1</v>
      </c>
      <c r="F14">
        <v>60</v>
      </c>
      <c r="G14" t="s">
        <v>14</v>
      </c>
      <c r="H14" t="str">
        <f>IF(Tabelle1[[#This Row],[Umsatz]]&gt;=800,"Premium", "Standard")</f>
        <v>Standard</v>
      </c>
      <c r="I14" t="str" cm="1">
        <f t="array" ref="I14">_xlfn.IFS(Tabelle1[[#This Row],[Tage seit Kauf]]&lt;30,"Aktiv",Tabelle1[[#This Row],[Tage seit Kauf]]&lt;90,"Gefährdet",Tabelle1[[#This Row],[Tage seit Kauf]]&gt;90,"Inaktiv")</f>
        <v>Gefährdet</v>
      </c>
      <c r="J14" t="str">
        <f t="shared" si="0"/>
        <v>nein</v>
      </c>
      <c r="K14" t="str">
        <f t="shared" si="1"/>
        <v>Falsch</v>
      </c>
      <c r="L14" t="str">
        <f t="shared" si="2"/>
        <v>Kein Bonus</v>
      </c>
      <c r="M14">
        <f>SUMIF(Tabelle1[Land],B15,Tabelle1[Umsatz])</f>
        <v>4120</v>
      </c>
      <c r="N14">
        <f>SUMIFS(Tabelle1[Umsatz],Tabelle1[Land],B15,Tabelle1[Kundensegment],I14)</f>
        <v>1390</v>
      </c>
      <c r="O14">
        <f>COUNTIFS(Tabelle1[Land],"DE",Tabelle1[Kundensegment],"Gefährdet")</f>
        <v>2</v>
      </c>
      <c r="P14">
        <f>COUNTIF(Tabelle1[Land],"DE")</f>
        <v>5</v>
      </c>
      <c r="Q14" t="str">
        <f>IF(OR(Tabelle1[[#This Row],[Kundensegment]]="Inaktiv",Tabelle1[[#This Row],[Kundensegment]]="Gefährdet"),"Kontaktieren","Keine Aktion")</f>
        <v>Kontaktieren</v>
      </c>
    </row>
    <row r="15" spans="1:17" x14ac:dyDescent="0.2">
      <c r="A15" t="s">
        <v>29</v>
      </c>
      <c r="B15" t="s">
        <v>8</v>
      </c>
      <c r="C15" t="s">
        <v>21</v>
      </c>
      <c r="D15">
        <v>780</v>
      </c>
      <c r="E15">
        <v>6</v>
      </c>
      <c r="F15">
        <v>42</v>
      </c>
      <c r="G15" t="s">
        <v>10</v>
      </c>
      <c r="H15" t="str">
        <f>IF(Tabelle1[[#This Row],[Umsatz]]&gt;=800,"Premium", "Standard")</f>
        <v>Standard</v>
      </c>
      <c r="I15" t="str" cm="1">
        <f t="array" ref="I15">_xlfn.IFS(Tabelle1[[#This Row],[Tage seit Kauf]]&lt;30,"Aktiv",Tabelle1[[#This Row],[Tage seit Kauf]]&lt;90,"Gefährdet",Tabelle1[[#This Row],[Tage seit Kauf]]&gt;90,"Inaktiv")</f>
        <v>Gefährdet</v>
      </c>
      <c r="J15" t="str">
        <f t="shared" si="0"/>
        <v>Ja</v>
      </c>
      <c r="K15" t="str">
        <f t="shared" si="1"/>
        <v>Wahr</v>
      </c>
      <c r="L15" t="str">
        <f t="shared" si="2"/>
        <v>Kein Bonus</v>
      </c>
      <c r="M15">
        <f>SUMIF(Tabelle1[Land],B16,Tabelle1[Umsatz])</f>
        <v>1860</v>
      </c>
      <c r="N15">
        <f>SUMIFS(Tabelle1[Umsatz],Tabelle1[Land],B16,Tabelle1[Kundensegment],I15)</f>
        <v>840</v>
      </c>
      <c r="O15">
        <f>COUNTIFS(Tabelle1[Land],"DE",Tabelle1[Kundensegment],"Gefährdet")</f>
        <v>2</v>
      </c>
      <c r="P15">
        <f>COUNTIF(Tabelle1[Land],"DE")</f>
        <v>5</v>
      </c>
      <c r="Q15" t="str">
        <f>IF(OR(Tabelle1[[#This Row],[Kundensegment]]="Inaktiv",Tabelle1[[#This Row],[Kundensegment]]="Gefährdet"),"Kontaktieren","Keine Aktion")</f>
        <v>Kontaktieren</v>
      </c>
    </row>
    <row r="16" spans="1:17" x14ac:dyDescent="0.2">
      <c r="A16" t="s">
        <v>30</v>
      </c>
      <c r="B16" t="s">
        <v>12</v>
      </c>
      <c r="C16" t="s">
        <v>9</v>
      </c>
      <c r="D16">
        <v>270</v>
      </c>
      <c r="E16">
        <v>3</v>
      </c>
      <c r="F16">
        <v>136</v>
      </c>
      <c r="G16" t="s">
        <v>10</v>
      </c>
      <c r="H16" t="str">
        <f>IF(Tabelle1[[#This Row],[Umsatz]]&gt;=800,"Premium", "Standard")</f>
        <v>Standard</v>
      </c>
      <c r="I16" t="str" cm="1">
        <f t="array" ref="I16">_xlfn.IFS(Tabelle1[[#This Row],[Tage seit Kauf]]&lt;30,"Aktiv",Tabelle1[[#This Row],[Tage seit Kauf]]&lt;90,"Gefährdet",Tabelle1[[#This Row],[Tage seit Kauf]]&gt;90,"Inaktiv")</f>
        <v>Inaktiv</v>
      </c>
      <c r="J16" t="str">
        <f t="shared" si="0"/>
        <v>nein</v>
      </c>
      <c r="K16" t="str">
        <f t="shared" si="1"/>
        <v>Wahr</v>
      </c>
      <c r="L16" t="str">
        <f t="shared" si="2"/>
        <v>Kein Bonus</v>
      </c>
      <c r="M16">
        <f>SUMIF(Tabelle1[Land],B17,Tabelle1[Umsatz])</f>
        <v>2640</v>
      </c>
      <c r="N16">
        <f>SUMIFS(Tabelle1[Umsatz],Tabelle1[Land],B17,Tabelle1[Kundensegment],I16)</f>
        <v>0</v>
      </c>
      <c r="O16">
        <f>COUNTIFS(Tabelle1[Land],"DE",Tabelle1[Kundensegment],"Gefährdet")</f>
        <v>2</v>
      </c>
      <c r="P16">
        <f>COUNTIF(Tabelle1[Land],"DE")</f>
        <v>5</v>
      </c>
      <c r="Q16" t="str">
        <f>IF(OR(Tabelle1[[#This Row],[Kundensegment]]="Inaktiv",Tabelle1[[#This Row],[Kundensegment]]="Gefährdet"),"Kontaktieren","Keine Aktion")</f>
        <v>Kontaktieren</v>
      </c>
    </row>
    <row r="17" spans="1:17" x14ac:dyDescent="0.2">
      <c r="A17" t="s">
        <v>31</v>
      </c>
      <c r="B17" t="s">
        <v>16</v>
      </c>
      <c r="C17" t="s">
        <v>9</v>
      </c>
      <c r="D17">
        <v>690</v>
      </c>
      <c r="E17">
        <v>6</v>
      </c>
      <c r="F17">
        <v>87</v>
      </c>
      <c r="G17" t="s">
        <v>14</v>
      </c>
      <c r="H17" t="str">
        <f>IF(Tabelle1[[#This Row],[Umsatz]]&gt;=800,"Premium", "Standard")</f>
        <v>Standard</v>
      </c>
      <c r="I17" t="str" cm="1">
        <f t="array" ref="I17">_xlfn.IFS(Tabelle1[[#This Row],[Tage seit Kauf]]&lt;30,"Aktiv",Tabelle1[[#This Row],[Tage seit Kauf]]&lt;90,"Gefährdet",Tabelle1[[#This Row],[Tage seit Kauf]]&gt;90,"Inaktiv")</f>
        <v>Gefährdet</v>
      </c>
      <c r="J17" t="str">
        <f t="shared" si="0"/>
        <v>Ja</v>
      </c>
      <c r="K17" t="str">
        <f t="shared" si="1"/>
        <v>Falsch</v>
      </c>
      <c r="L17" t="str">
        <f t="shared" si="2"/>
        <v>Kein Bonus</v>
      </c>
      <c r="M17">
        <f>SUMIF(Tabelle1[Land],B18,Tabelle1[Umsatz])</f>
        <v>0</v>
      </c>
      <c r="N17">
        <f>SUMIFS(Tabelle1[Umsatz],Tabelle1[Land],B18,Tabelle1[Kundensegment],I17)</f>
        <v>0</v>
      </c>
      <c r="O17">
        <f>COUNTIFS(Tabelle1[Land],"DE",Tabelle1[Kundensegment],"Gefährdet")</f>
        <v>2</v>
      </c>
      <c r="P17">
        <f>COUNTIF(Tabelle1[Land],"DE")</f>
        <v>5</v>
      </c>
      <c r="Q17" t="str">
        <f>IF(OR(Tabelle1[[#This Row],[Kundensegment]]="Inaktiv",Tabelle1[[#This Row],[Kundensegment]]="Gefährdet"),"Kontaktieren","Keine Aktion")</f>
        <v>Kontaktieren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402C-B140-2F4E-B7B0-5C92CBCF413D}">
  <dimension ref="A1"/>
  <sheetViews>
    <sheetView workbookViewId="0"/>
  </sheetViews>
  <sheetFormatPr baseColWidth="10" defaultRowHeight="16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Kundendaten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Soylu, Senem</dc:creator>
  <cp:lastModifiedBy>Soylu, Senem</cp:lastModifiedBy>
  <dcterms:created xsi:type="dcterms:W3CDTF">2026-10-13T12:01:29Z</dcterms:created>
  <dcterms:modified xsi:type="dcterms:W3CDTF">2026-10-22T17:58:35Z</dcterms:modified>
</cp:coreProperties>
</file>